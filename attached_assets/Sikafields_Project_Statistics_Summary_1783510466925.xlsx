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al\Documents\SIKAFIELDS LLC\PROJECTS\"/>
    </mc:Choice>
  </mc:AlternateContent>
  <xr:revisionPtr revIDLastSave="0" documentId="8_{BB88608A-D203-4101-B125-62E16603E1C9}" xr6:coauthVersionLast="47" xr6:coauthVersionMax="47" xr10:uidLastSave="{00000000-0000-0000-0000-000000000000}"/>
  <bookViews>
    <workbookView xWindow="-90" yWindow="-90" windowWidth="19380" windowHeight="11460" xr2:uid="{3CF28EB0-8288-4F5F-ADFD-7BBC68FB0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F5" i="1"/>
  <c r="G5" i="1"/>
  <c r="D5" i="1"/>
</calcChain>
</file>

<file path=xl/sharedStrings.xml><?xml version="1.0" encoding="utf-8"?>
<sst xmlns="http://schemas.openxmlformats.org/spreadsheetml/2006/main" count="27" uniqueCount="27">
  <si>
    <t>Project</t>
  </si>
  <si>
    <t>Expected project size (Hectares)</t>
  </si>
  <si>
    <t>Current area oboarded (Ha)</t>
  </si>
  <si>
    <t>Expected farmers</t>
  </si>
  <si>
    <t>Current onboard farmers</t>
  </si>
  <si>
    <t>Current planted trees</t>
  </si>
  <si>
    <t>MGSSAMS</t>
  </si>
  <si>
    <t xml:space="preserve">Expected gross carbon removals (tCO2e) </t>
  </si>
  <si>
    <t>9.7M</t>
  </si>
  <si>
    <t>25m</t>
  </si>
  <si>
    <t>1.6M</t>
  </si>
  <si>
    <t>SAMS</t>
  </si>
  <si>
    <t>Applicable standard</t>
  </si>
  <si>
    <t>Open Forest Protocol</t>
  </si>
  <si>
    <t>GSRAM</t>
  </si>
  <si>
    <t>VM0042+Corsia labelled</t>
  </si>
  <si>
    <t>7.8M</t>
  </si>
  <si>
    <t>38M</t>
  </si>
  <si>
    <t>498K</t>
  </si>
  <si>
    <t>7.3M</t>
  </si>
  <si>
    <t>32M</t>
  </si>
  <si>
    <t>Total</t>
  </si>
  <si>
    <t>95M</t>
  </si>
  <si>
    <t>2.1M</t>
  </si>
  <si>
    <t>24.8M</t>
  </si>
  <si>
    <t>Verra VM0047</t>
  </si>
  <si>
    <t>Expected trees to be planted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</si>
</sst>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165" fontId="2" fillId="0" borderId="0" xfId="1" applyNumberFormat="1" applyFont="1"/>
    <xf numFmtId="0" fontId="3" fillId="0" borderId="0" xfId="0" applyFont="1"/>
    <xf numFmtId="0" fontId="4" fillId="0" borderId="0" xfId="0" applyFont="1"/>
    <xf numFmtId="3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F0278-BEA7-4E61-8F9F-AF3498128419}">
  <dimension ref="A1:I5"/>
  <sheetViews>
    <sheetView tabSelected="1" workbookViewId="0">
      <selection activeCell="G11" sqref="G11"/>
    </sheetView>
  </sheetViews>
  <sheetFormatPr defaultRowHeight="14.75" x14ac:dyDescent="0.75"/>
  <cols>
    <col min="1" max="1" width="14.40625" customWidth="1"/>
    <col min="2" max="2" width="20.90625" customWidth="1"/>
    <col min="3" max="3" width="15.08984375" customWidth="1"/>
    <col min="4" max="4" width="10.31640625" customWidth="1"/>
    <col min="5" max="6" width="8.953125" bestFit="1" customWidth="1"/>
    <col min="7" max="7" width="8.76953125" bestFit="1" customWidth="1"/>
    <col min="9" max="9" width="10.453125" customWidth="1"/>
  </cols>
  <sheetData>
    <row r="1" spans="1:9" ht="54" x14ac:dyDescent="0.75">
      <c r="A1" s="2" t="s">
        <v>0</v>
      </c>
      <c r="B1" s="2" t="s">
        <v>12</v>
      </c>
      <c r="C1" s="3" t="s">
        <v>7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26</v>
      </c>
      <c r="I1" s="3" t="s">
        <v>5</v>
      </c>
    </row>
    <row r="2" spans="1:9" x14ac:dyDescent="0.75">
      <c r="A2" s="1" t="s">
        <v>6</v>
      </c>
      <c r="B2" s="1" t="s">
        <v>25</v>
      </c>
      <c r="C2" s="1" t="s">
        <v>8</v>
      </c>
      <c r="D2" s="4">
        <v>60000</v>
      </c>
      <c r="E2" s="4">
        <v>10229</v>
      </c>
      <c r="F2" s="4">
        <v>37500</v>
      </c>
      <c r="G2" s="4">
        <v>6400</v>
      </c>
      <c r="H2" s="1" t="s">
        <v>9</v>
      </c>
      <c r="I2" s="1" t="s">
        <v>10</v>
      </c>
    </row>
    <row r="3" spans="1:9" x14ac:dyDescent="0.75">
      <c r="A3" s="1" t="s">
        <v>11</v>
      </c>
      <c r="B3" s="1" t="s">
        <v>13</v>
      </c>
      <c r="C3" s="1" t="s">
        <v>16</v>
      </c>
      <c r="D3" s="4">
        <v>50000</v>
      </c>
      <c r="E3" s="4">
        <v>7200</v>
      </c>
      <c r="F3" s="4">
        <v>32200</v>
      </c>
      <c r="G3" s="4">
        <v>4500</v>
      </c>
      <c r="H3" s="1" t="s">
        <v>17</v>
      </c>
      <c r="I3" s="1" t="s">
        <v>18</v>
      </c>
    </row>
    <row r="4" spans="1:9" x14ac:dyDescent="0.75">
      <c r="A4" s="1" t="s">
        <v>14</v>
      </c>
      <c r="B4" s="1" t="s">
        <v>15</v>
      </c>
      <c r="C4" s="1" t="s">
        <v>19</v>
      </c>
      <c r="D4" s="4">
        <v>50000</v>
      </c>
      <c r="E4" s="4">
        <v>0</v>
      </c>
      <c r="F4" s="4">
        <v>20200</v>
      </c>
      <c r="G4" s="4">
        <v>0</v>
      </c>
      <c r="H4" s="1" t="s">
        <v>20</v>
      </c>
      <c r="I4" s="1">
        <v>0</v>
      </c>
    </row>
    <row r="5" spans="1:9" x14ac:dyDescent="0.75">
      <c r="A5" s="5" t="s">
        <v>21</v>
      </c>
      <c r="B5" s="6"/>
      <c r="C5" s="6" t="s">
        <v>24</v>
      </c>
      <c r="D5" s="7">
        <f>SUM(D2:D4)</f>
        <v>160000</v>
      </c>
      <c r="E5" s="7">
        <f t="shared" ref="E5:G5" si="0">SUM(E2:E4)</f>
        <v>17429</v>
      </c>
      <c r="F5" s="7">
        <f t="shared" si="0"/>
        <v>89900</v>
      </c>
      <c r="G5" s="7">
        <f t="shared" si="0"/>
        <v>10900</v>
      </c>
      <c r="H5" s="5" t="s">
        <v>22</v>
      </c>
      <c r="I5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Asare-Kyei, PhD</dc:creator>
  <cp:lastModifiedBy>Dan Asare-Kyei, PhD</cp:lastModifiedBy>
  <dcterms:created xsi:type="dcterms:W3CDTF">2026-07-02T11:00:04Z</dcterms:created>
  <dcterms:modified xsi:type="dcterms:W3CDTF">2026-07-02T11:20:50Z</dcterms:modified>
</cp:coreProperties>
</file>